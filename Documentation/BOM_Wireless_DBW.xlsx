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64" fontId="6" fillId="3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 ht="20" customHeight="1">
      <c r="A1" s="1" t="inlineStr">
        <is>
          <t>Supplier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Total Cost</t>
        </is>
      </c>
      <c r="G1" s="1" t="inlineStr">
        <is>
          <t>Notes</t>
        </is>
      </c>
    </row>
    <row r="2">
      <c r="A2" s="8" t="inlineStr">
        <is>
          <t>Amazon</t>
        </is>
      </c>
      <c r="B2" s="8" t="inlineStr">
        <is>
          <t>B08D5ZD528</t>
        </is>
      </c>
      <c r="C2" s="8" t="inlineStr">
        <is>
          <t>Logitech G29 Driving Force Racing Wheel + Pedals</t>
        </is>
      </c>
      <c r="D2" s="8" t="n">
        <v>1</v>
      </c>
      <c r="E2" s="9" t="n">
        <v>249.99</v>
      </c>
      <c r="F2" s="9">
        <f>D2*E2</f>
        <v/>
      </c>
      <c r="G2" s="10" t="inlineStr">
        <is>
          <t>★ Purchased — budget item</t>
        </is>
      </c>
    </row>
    <row r="3">
      <c r="A3" s="2" t="inlineStr">
        <is>
          <t>Amazon</t>
        </is>
      </c>
      <c r="B3" s="2" t="inlineStr">
        <is>
          <t>B09GK74F7N</t>
        </is>
      </c>
      <c r="C3" s="2" t="inlineStr">
        <is>
          <t>ESP32-WROOM-32 DevKit V1 Development Board</t>
        </is>
      </c>
      <c r="D3" s="2" t="n">
        <v>1</v>
      </c>
      <c r="E3" s="3" t="n">
        <v>9.99</v>
      </c>
      <c r="F3" s="4">
        <f>D3*E3</f>
        <v/>
      </c>
    </row>
    <row r="4">
      <c r="A4" s="2" t="inlineStr">
        <is>
          <t>JLCPCB</t>
        </is>
      </c>
      <c r="B4" s="2" t="inlineStr">
        <is>
          <t>N/A</t>
        </is>
      </c>
      <c r="C4" s="2" t="inlineStr">
        <is>
          <t>Custom 2-Layer DBW PCB (5-board minimum order)</t>
        </is>
      </c>
      <c r="D4" s="2" t="n">
        <v>1</v>
      </c>
      <c r="E4" s="3" t="n">
        <v>18</v>
      </c>
      <c r="F4" s="4">
        <f>D4*E4</f>
        <v/>
      </c>
    </row>
    <row r="5">
      <c r="A5" s="2" t="inlineStr">
        <is>
          <t>Digi-Key</t>
        </is>
      </c>
      <c r="B5" s="2" t="inlineStr">
        <is>
          <t>MCP2515-I/P-ND</t>
        </is>
      </c>
      <c r="C5" s="2" t="inlineStr">
        <is>
          <t>MCP2515 CAN Bus Controller w/ SPI Interface (DIP-18)</t>
        </is>
      </c>
      <c r="D5" s="2" t="n">
        <v>1</v>
      </c>
      <c r="E5" s="3" t="n">
        <v>1.82</v>
      </c>
      <c r="F5" s="4">
        <f>D5*E5</f>
        <v/>
      </c>
    </row>
    <row r="6">
      <c r="A6" s="2" t="inlineStr">
        <is>
          <t>Digi-Key</t>
        </is>
      </c>
      <c r="B6" s="2" t="inlineStr">
        <is>
          <t>MCP4728A0T-E/UN-ND</t>
        </is>
      </c>
      <c r="C6" s="2" t="inlineStr">
        <is>
          <t>MCP4728 Quad 12-Bit I2C DAC</t>
        </is>
      </c>
      <c r="D6" s="2" t="n">
        <v>2</v>
      </c>
      <c r="E6" s="3" t="n">
        <v>2.63</v>
      </c>
      <c r="F6" s="4">
        <f>D6*E6</f>
        <v/>
      </c>
    </row>
    <row r="7">
      <c r="A7" s="2" t="inlineStr">
        <is>
          <t>Amazon</t>
        </is>
      </c>
      <c r="B7" s="2" t="inlineStr">
        <is>
          <t>B07GHT9TF7</t>
        </is>
      </c>
      <c r="C7" s="2" t="inlineStr">
        <is>
          <t>8 MHz Crystal Oscillator (for MCP2515)</t>
        </is>
      </c>
      <c r="D7" s="2" t="n">
        <v>1</v>
      </c>
      <c r="E7" s="3" t="n">
        <v>5.99</v>
      </c>
      <c r="F7" s="4">
        <f>D7*E7</f>
        <v/>
      </c>
    </row>
    <row r="8">
      <c r="A8" s="2" t="inlineStr">
        <is>
          <t>Amazon</t>
        </is>
      </c>
      <c r="B8" s="2" t="inlineStr">
        <is>
          <t>B07J7NB75Z</t>
        </is>
      </c>
      <c r="C8" s="2" t="inlineStr">
        <is>
          <t>Mobile WiFi Hotspot (or use smartphone as hotspot)</t>
        </is>
      </c>
      <c r="D8" s="2" t="n">
        <v>1</v>
      </c>
      <c r="E8" s="3" t="n">
        <v>49.99</v>
      </c>
      <c r="F8" s="4">
        <f>D8*E8</f>
        <v/>
      </c>
    </row>
    <row r="9">
      <c r="A9" s="2" t="inlineStr">
        <is>
          <t>Oracle Cloud</t>
        </is>
      </c>
      <c r="B9" s="2" t="inlineStr">
        <is>
          <t>N/A</t>
        </is>
      </c>
      <c r="C9" s="2" t="inlineStr">
        <is>
          <t>OCI VM.Standard.E2.1.Micro Compute Instance (Always Free*)</t>
        </is>
      </c>
      <c r="D9" s="2" t="n">
        <v>1</v>
      </c>
      <c r="E9" s="3" t="n">
        <v>0</v>
      </c>
      <c r="F9" s="4">
        <f>D9*E9</f>
        <v/>
      </c>
    </row>
    <row r="10">
      <c r="A10" s="2" t="inlineStr">
        <is>
          <t>Amazon</t>
        </is>
      </c>
      <c r="B10" s="2" t="inlineStr">
        <is>
          <t>B07V6JMFCM</t>
        </is>
      </c>
      <c r="C10" s="2" t="inlineStr">
        <is>
          <t>OBD2 CAN Bus Twisted Pair Cable (16AWG, 6ft)</t>
        </is>
      </c>
      <c r="D10" s="2" t="n">
        <v>1</v>
      </c>
      <c r="E10" s="3" t="n">
        <v>9.99</v>
      </c>
      <c r="F10" s="4">
        <f>D10*E10</f>
        <v/>
      </c>
    </row>
    <row r="11">
      <c r="A11" s="2" t="inlineStr">
        <is>
          <t>Amazon</t>
        </is>
      </c>
      <c r="B11" s="2" t="inlineStr">
        <is>
          <t>B08FD39Y5R</t>
        </is>
      </c>
      <c r="C11" s="2" t="inlineStr">
        <is>
          <t>Assorted Dupont Jumper Wires + Pin Headers Kit</t>
        </is>
      </c>
      <c r="D11" s="2" t="n">
        <v>1</v>
      </c>
      <c r="E11" s="3" t="n">
        <v>7.99</v>
      </c>
      <c r="F11" s="4">
        <f>D11*E11</f>
        <v/>
      </c>
    </row>
    <row r="12">
      <c r="A12" s="2" t="inlineStr">
        <is>
          <t>Used Car Market</t>
        </is>
      </c>
      <c r="B12" s="2" t="inlineStr">
        <is>
          <t>N/A</t>
        </is>
      </c>
      <c r="C12" s="2" t="inlineStr">
        <is>
          <t>Nissan Leaf (used, model year 2015–2018)</t>
        </is>
      </c>
      <c r="D12" s="2" t="n">
        <v>1</v>
      </c>
      <c r="E12" s="3" t="n">
        <v>8500</v>
      </c>
      <c r="F12" s="4">
        <f>D12*E12</f>
        <v/>
      </c>
    </row>
    <row r="13">
      <c r="E13" s="5" t="inlineStr">
        <is>
          <t>Grand Total</t>
        </is>
      </c>
      <c r="F13" s="6">
        <f>SUM(F2:F12)</f>
        <v/>
      </c>
    </row>
    <row r="14"/>
    <row r="15">
      <c r="A15" s="7" t="inlineStr">
        <is>
          <t>* OCI server uses Oracle Always Free Tier — no cost incurred.</t>
        </is>
      </c>
    </row>
    <row r="16" ht="42" customHeight="1">
      <c r="A16" s="11" t="inlineStr">
        <is>
          <t>★ Budget note: all components except the Logitech G29 were provided by the university or were already on hand. The team's out-of-pocket budget consisted solely of the G29 driving simulator ($249.99).</t>
        </is>
      </c>
    </row>
    <row r="17"/>
    <row r="18"/>
    <row r="19"/>
    <row r="20"/>
  </sheetData>
  <mergeCells count="2"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2026-05-01T18:50:25Z</dcterms:created>
  <dcterms:modified xsi:type="dcterms:W3CDTF">2026-05-01T19:37:50Z</dcterms:modified>
</cp:coreProperties>
</file>